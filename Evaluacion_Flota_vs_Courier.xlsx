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puestos" sheetId="1" r:id="rId1"/>
    <sheet name="Escenarios" sheetId="2" r:id="rId2"/>
    <sheet name="Electrica vs Courier" sheetId="3" r:id="rId3"/>
    <sheet name="Proyeccion 3 anos" sheetId="4" r:id="rId4"/>
  </sheets>
  <calcPr calcId="0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#,##0"/>
    <numFmt numFmtId="167" formatCode="0.00"/>
  </numFmts>
  <fonts count="4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color rgb="FF123A5E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23A5E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rgb="FFECECEC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1" fillId="4" borderId="0" xfId="0" applyFont="1" applyFill="1"/>
    <xf numFmtId="166" fontId="0" fillId="3" borderId="1" xfId="0" applyNumberFormat="1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167" fontId="0" fillId="3" borderId="1" xfId="0" applyNumberFormat="1" applyFill="1" applyBorder="1"/>
    <xf numFmtId="0" fontId="2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164" fontId="1" fillId="0" borderId="1" xfId="0" applyNumberFormat="1" applyFont="1" applyBorder="1"/>
    <xf numFmtId="165" fontId="0" fillId="0" borderId="1" xfId="0" applyNumberFormat="1" applyBorder="1"/>
    <xf numFmtId="166" fontId="0" fillId="0" borderId="1" xfId="0" applyNumberFormat="1" applyBorder="1"/>
    <xf numFmtId="0" fontId="1" fillId="0" borderId="0" xfId="0" applyFont="1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16" customWidth="1"/>
    <col min="3" max="3" width="34" customWidth="1"/>
  </cols>
  <sheetData>
    <row r="1">
      <c r="A1" s="1" t="inlineStr">
        <is>
          <t xml:space="preserve">MODELO: FLOTA PROPIA vs COURIER  -  CAV</t>
        </is>
      </c>
    </row>
    <row r="2">
      <c r="A2" s="12" t="inlineStr">
        <is>
          <t xml:space="preserve">Edita las celdas amarillas; las demas hojas se recalculan solas.</t>
        </is>
      </c>
    </row>
    <row r="4">
      <c r="A4" s="2" t="inlineStr">
        <is>
          <t xml:space="preserve">PARAMETROS GENERALES</t>
        </is>
      </c>
      <c r="B4" s="2" t="inlineStr">
        <is>
          <t xml:space="preserve"/>
        </is>
      </c>
      <c r="C4" s="2" t="inlineStr">
        <is>
          <t xml:space="preserve"/>
        </is>
      </c>
    </row>
    <row r="5">
      <c r="A5" s="0" t="inlineStr">
        <is>
          <t xml:space="preserve">Envios por mes</t>
        </is>
      </c>
      <c r="B5" s="3">
        <v>15000</v>
      </c>
    </row>
    <row r="6">
      <c r="A6" s="0" t="inlineStr">
        <is>
          <t xml:space="preserve">Dias habiles por mes</t>
        </is>
      </c>
      <c r="B6" s="3">
        <v>22</v>
      </c>
    </row>
    <row r="7">
      <c r="A7" s="0" t="inlineStr">
        <is>
          <t xml:space="preserve">Capacidad entregas por movil/dia</t>
        </is>
      </c>
      <c r="B7" s="3">
        <v>120</v>
      </c>
    </row>
    <row r="8">
      <c r="A8" s="0" t="inlineStr">
        <is>
          <t xml:space="preserve">Costo courier por envio (CLP)</t>
        </is>
      </c>
      <c r="B8" s="4">
        <v>2980</v>
      </c>
    </row>
    <row r="9">
      <c r="A9" s="0" t="inlineStr">
        <is>
          <t xml:space="preserve">Valor UF (CLP)</t>
        </is>
      </c>
      <c r="B9" s="4">
        <v>40000</v>
      </c>
    </row>
    <row r="10">
      <c r="A10" s="0" t="inlineStr">
        <is>
          <t xml:space="preserve">N de moviles (escenario base)</t>
        </is>
      </c>
      <c r="B10" s="3">
        <v>7</v>
      </c>
    </row>
    <row r="12">
      <c r="A12" s="2" t="inlineStr">
        <is>
          <t xml:space="preserve">REPARTO Y KILOMETRAJE</t>
        </is>
      </c>
      <c r="B12" s="2" t="inlineStr">
        <is>
          <t xml:space="preserve"/>
        </is>
      </c>
      <c r="C12" s="2" t="inlineStr">
        <is>
          <t xml:space="preserve"/>
        </is>
      </c>
    </row>
    <row r="13">
      <c r="A13" s="0" t="inlineStr">
        <is>
          <t xml:space="preserve">Km totales de reparto por mes</t>
        </is>
      </c>
      <c r="B13" s="3">
        <v>30000</v>
      </c>
    </row>
    <row r="14">
      <c r="A14" s="0" t="inlineStr">
        <is>
          <t xml:space="preserve">Km incluidos por movil (contrato)</t>
        </is>
      </c>
      <c r="B14" s="3">
        <v>3000</v>
      </c>
    </row>
    <row r="15">
      <c r="A15" s="0" t="inlineStr">
        <is>
          <t xml:space="preserve">Costo sobrekilometraje (CLP/km)</t>
        </is>
      </c>
      <c r="B15" s="4">
        <v>150</v>
      </c>
    </row>
    <row r="17">
      <c r="A17" s="2" t="inlineStr">
        <is>
          <t xml:space="preserve">VEHICULOS Y ENERGIA</t>
        </is>
      </c>
      <c r="B17" s="2" t="inlineStr">
        <is>
          <t xml:space="preserve"/>
        </is>
      </c>
      <c r="C17" s="2" t="inlineStr">
        <is>
          <t xml:space="preserve"/>
        </is>
      </c>
    </row>
    <row r="18">
      <c r="A18" s="0" t="inlineStr">
        <is>
          <t xml:space="preserve">Leasing electrico (UF por movil/mes)</t>
        </is>
      </c>
      <c r="B18" s="3">
        <v>34</v>
      </c>
    </row>
    <row r="19">
      <c r="A19" s="0" t="inlineStr">
        <is>
          <t xml:space="preserve">Leasing petrolero (UF por movil/mes)</t>
        </is>
      </c>
      <c r="B19" s="3">
        <v>27</v>
      </c>
    </row>
    <row r="20">
      <c r="A20" s="0" t="inlineStr">
        <is>
          <t xml:space="preserve">Precio electricidad (CLP/kWh)</t>
        </is>
      </c>
      <c r="B20" s="4">
        <v>150</v>
      </c>
    </row>
    <row r="21">
      <c r="A21" s="0" t="inlineStr">
        <is>
          <t xml:space="preserve">Consumo electrico (kWh/km)</t>
        </is>
      </c>
      <c r="B21" s="6">
        <v>0.25</v>
      </c>
    </row>
    <row r="22">
      <c r="A22" s="0" t="inlineStr">
        <is>
          <t xml:space="preserve">Precio diesel (CLP/L)</t>
        </is>
      </c>
      <c r="B22" s="4">
        <v>1050</v>
      </c>
    </row>
    <row r="23">
      <c r="A23" s="0" t="inlineStr">
        <is>
          <t xml:space="preserve">Rendimiento diesel (km/L)</t>
        </is>
      </c>
      <c r="B23" s="3">
        <v>10</v>
      </c>
    </row>
    <row r="24">
      <c r="A24" s="0" t="inlineStr">
        <is>
          <t xml:space="preserve">Infra de carga electrica (CLP/movil/mes)</t>
        </is>
      </c>
      <c r="B24" s="4">
        <v>25000</v>
      </c>
    </row>
    <row r="26">
      <c r="A26" s="2" t="inlineStr">
        <is>
          <t xml:space="preserve">PERSONAL Y OVERHEAD</t>
        </is>
      </c>
      <c r="B26" s="2" t="inlineStr">
        <is>
          <t xml:space="preserve"/>
        </is>
      </c>
      <c r="C26" s="2" t="inlineStr">
        <is>
          <t xml:space="preserve"/>
        </is>
      </c>
    </row>
    <row r="27">
      <c r="A27" s="0" t="inlineStr">
        <is>
          <t xml:space="preserve">Costo empresa conductor (CLP/mes)</t>
        </is>
      </c>
      <c r="B27" s="4">
        <v>1200000</v>
      </c>
    </row>
    <row r="28">
      <c r="A28" s="0" t="inlineStr">
        <is>
          <t xml:space="preserve">Peoneta: % bajo el conductor</t>
        </is>
      </c>
      <c r="B28" s="5">
        <v>0.3</v>
      </c>
    </row>
    <row r="29">
      <c r="A29" s="0" t="inlineStr">
        <is>
          <t xml:space="preserve">Provision multas/deducibles (CLP/mes)</t>
        </is>
      </c>
      <c r="B29" s="4">
        <v>500000</v>
      </c>
    </row>
    <row r="30">
      <c r="A30" s="0" t="inlineStr">
        <is>
          <t xml:space="preserve">Overhead fijo (CLP/mes)</t>
        </is>
      </c>
      <c r="B30" s="4">
        <v>2770000</v>
      </c>
    </row>
    <row r="31">
      <c r="A31" s="0" t="inlineStr">
        <is>
          <t xml:space="preserve">Telemetria (CLP/movil/mes)</t>
        </is>
      </c>
      <c r="B31" s="4">
        <v>13000</v>
      </c>
    </row>
    <row r="33">
      <c r="A33" s="2" t="inlineStr">
        <is>
          <t xml:space="preserve">PROYECCION 3 ANOS (reajustes anuales)</t>
        </is>
      </c>
      <c r="B33" s="2" t="inlineStr">
        <is>
          <t xml:space="preserve"/>
        </is>
      </c>
      <c r="C33" s="2" t="inlineStr">
        <is>
          <t xml:space="preserve"/>
        </is>
      </c>
    </row>
    <row r="34">
      <c r="A34" s="0" t="inlineStr">
        <is>
          <t xml:space="preserve">Alza anual diesel</t>
        </is>
      </c>
      <c r="B34" s="5">
        <v>0.08</v>
      </c>
    </row>
    <row r="35">
      <c r="A35" s="0" t="inlineStr">
        <is>
          <t xml:space="preserve">Alza anual electricidad</t>
        </is>
      </c>
      <c r="B35" s="5">
        <v>0.03</v>
      </c>
    </row>
    <row r="36">
      <c r="A36" s="0" t="inlineStr">
        <is>
          <t xml:space="preserve">Reajuste anual courier</t>
        </is>
      </c>
      <c r="B36" s="5">
        <v>0.05</v>
      </c>
    </row>
    <row r="37">
      <c r="A37" s="0" t="inlineStr">
        <is>
          <t xml:space="preserve">Reajuste anual UF / leasing</t>
        </is>
      </c>
      <c r="B37" s="5">
        <v>0.035</v>
      </c>
    </row>
    <row r="38">
      <c r="A38" s="0" t="inlineStr">
        <is>
          <t xml:space="preserve">Reajuste anual sueldos / overhead</t>
        </is>
      </c>
      <c r="B38" s="5">
        <v>0.04</v>
      </c>
    </row>
  </sheetData>
</worksheet>
</file>

<file path=xl/worksheets/sheet2.xml><?xml version="1.0" encoding="utf-8"?>
<worksheet xmlns="http://schemas.openxmlformats.org/spreadsheetml/2006/main">
  <cols>
    <col min="1" max="1" width="11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</cols>
  <sheetData>
    <row r="1">
      <c r="A1" s="1" t="inlineStr">
        <is>
          <t xml:space="preserve">ESCENARIOS POR TAMANO DE FLOTA (con sobrekilometraje)</t>
        </is>
      </c>
    </row>
    <row r="3">
      <c r="A3" s="7" t="inlineStr">
        <is>
          <t xml:space="preserve">Moviles (N)</t>
        </is>
      </c>
      <c r="B3" s="7" t="inlineStr">
        <is>
          <t xml:space="preserve">Utilizacion</t>
        </is>
      </c>
      <c r="C3" s="7" t="inlineStr">
        <is>
          <t xml:space="preserve">Km/movil</t>
        </is>
      </c>
      <c r="D3" s="7" t="inlineStr">
        <is>
          <t xml:space="preserve">Sobrekm/mes</t>
        </is>
      </c>
      <c r="E3" s="7" t="inlineStr">
        <is>
          <t xml:space="preserve">Total Electrica/mes</t>
        </is>
      </c>
      <c r="F3" s="7" t="inlineStr">
        <is>
          <t xml:space="preserve">Total Petrolera/mes</t>
        </is>
      </c>
      <c r="G3" s="7" t="inlineStr">
        <is>
          <t xml:space="preserve">$/envio Elec.</t>
        </is>
      </c>
      <c r="H3" s="7" t="inlineStr">
        <is>
          <t xml:space="preserve">$/envio Pet.</t>
        </is>
      </c>
      <c r="I3" s="7" t="inlineStr">
        <is>
          <t xml:space="preserve">Ahorro/ano Elec.</t>
        </is>
      </c>
      <c r="J3" s="7" t="inlineStr">
        <is>
          <t xml:space="preserve">Ahorro/ano Pet.</t>
        </is>
      </c>
    </row>
    <row r="4">
      <c r="A4" s="11">
        <v>10</v>
      </c>
      <c r="B4" s="10">
        <f>Supuestos!$B$5/(Supuestos!$B$7*Supuestos!$B$6*$A4)</f>
        <v>0.5681818181818182</v>
      </c>
      <c r="C4" s="11">
        <f>Supuestos!$B$13/$A4</f>
        <v>3000.0</v>
      </c>
      <c r="D4" s="8">
        <f>(MAX(0,Supuestos!$B$13-$A4*Supuestos!$B$14)*Supuestos!$B$15)</f>
        <v>0</v>
      </c>
      <c r="E4" s="8">
        <f>($A4*Supuestos!$B$18*Supuestos!$B$9)+(Supuestos!$B$13*Supuestos!$B$21*Supuestos!$B$20)+($A4*Supuestos!$B$24)+($A4*Supuestos!$B$27*(2-Supuestos!$B$28))+(Supuestos!$B$30+$A4*Supuestos!$B$31)+(MAX(0,Supuestos!$B$13-$A4*Supuestos!$B$14)*Supuestos!$B$15)+Supuestos!$B$29</f>
        <v>38775000.0</v>
      </c>
      <c r="F4" s="8">
        <f>($A4*Supuestos!$B$19*Supuestos!$B$9)+(Supuestos!$B$13/Supuestos!$B$23*Supuestos!$B$22)+($A4*Supuestos!$B$27*(2-Supuestos!$B$28))+(Supuestos!$B$30+$A4*Supuestos!$B$31)+(MAX(0,Supuestos!$B$13-$A4*Supuestos!$B$14)*Supuestos!$B$15)+Supuestos!$B$29</f>
        <v>37750000.0</v>
      </c>
      <c r="G4" s="8">
        <f>E4/Supuestos!$B$5</f>
        <v>2585.0</v>
      </c>
      <c r="H4" s="8">
        <f>F4/Supuestos!$B$5</f>
        <v>2516.6666666666665</v>
      </c>
      <c r="I4" s="8">
        <f>(Supuestos!$B$8*Supuestos!$B$5-E4)*12</f>
        <v>71100000.0</v>
      </c>
      <c r="J4" s="8">
        <f>(Supuestos!$B$8*Supuestos!$B$5-F4)*12</f>
        <v>83400000.0</v>
      </c>
    </row>
    <row r="5">
      <c r="A5" s="11">
        <v>9</v>
      </c>
      <c r="B5" s="10">
        <f>Supuestos!$B$5/(Supuestos!$B$7*Supuestos!$B$6*$A5)</f>
        <v>0.6313131313131313</v>
      </c>
      <c r="C5" s="11">
        <f>Supuestos!$B$13/$A5</f>
        <v>3333.3333333333335</v>
      </c>
      <c r="D5" s="8">
        <f>(MAX(0,Supuestos!$B$13-$A5*Supuestos!$B$14)*Supuestos!$B$15)</f>
        <v>450000</v>
      </c>
      <c r="E5" s="8">
        <f>($A5*Supuestos!$B$18*Supuestos!$B$9)+(Supuestos!$B$13*Supuestos!$B$21*Supuestos!$B$20)+($A5*Supuestos!$B$24)+($A5*Supuestos!$B$27*(2-Supuestos!$B$28))+(Supuestos!$B$30+$A5*Supuestos!$B$31)+(MAX(0,Supuestos!$B$13-$A5*Supuestos!$B$14)*Supuestos!$B$15)+Supuestos!$B$29</f>
        <v>35787000.0</v>
      </c>
      <c r="F5" s="8">
        <f>($A5*Supuestos!$B$19*Supuestos!$B$9)+(Supuestos!$B$13/Supuestos!$B$23*Supuestos!$B$22)+($A5*Supuestos!$B$27*(2-Supuestos!$B$28))+(Supuestos!$B$30+$A5*Supuestos!$B$31)+(MAX(0,Supuestos!$B$13-$A5*Supuestos!$B$14)*Supuestos!$B$15)+Supuestos!$B$29</f>
        <v>35067000.0</v>
      </c>
      <c r="G5" s="8">
        <f>E5/Supuestos!$B$5</f>
        <v>2385.8</v>
      </c>
      <c r="H5" s="8">
        <f>F5/Supuestos!$B$5</f>
        <v>2337.8</v>
      </c>
      <c r="I5" s="8">
        <f>(Supuestos!$B$8*Supuestos!$B$5-E5)*12</f>
        <v>106956000.0</v>
      </c>
      <c r="J5" s="8">
        <f>(Supuestos!$B$8*Supuestos!$B$5-F5)*12</f>
        <v>115596000.0</v>
      </c>
    </row>
    <row r="6">
      <c r="A6" s="11">
        <v>8</v>
      </c>
      <c r="B6" s="10">
        <f>Supuestos!$B$5/(Supuestos!$B$7*Supuestos!$B$6*$A6)</f>
        <v>0.7102272727272727</v>
      </c>
      <c r="C6" s="11">
        <f>Supuestos!$B$13/$A6</f>
        <v>3750.0</v>
      </c>
      <c r="D6" s="8">
        <f>(MAX(0,Supuestos!$B$13-$A6*Supuestos!$B$14)*Supuestos!$B$15)</f>
        <v>900000</v>
      </c>
      <c r="E6" s="8">
        <f>($A6*Supuestos!$B$18*Supuestos!$B$9)+(Supuestos!$B$13*Supuestos!$B$21*Supuestos!$B$20)+($A6*Supuestos!$B$24)+($A6*Supuestos!$B$27*(2-Supuestos!$B$28))+(Supuestos!$B$30+$A6*Supuestos!$B$31)+(MAX(0,Supuestos!$B$13-$A6*Supuestos!$B$14)*Supuestos!$B$15)+Supuestos!$B$29</f>
        <v>32799000.0</v>
      </c>
      <c r="F6" s="8">
        <f>($A6*Supuestos!$B$19*Supuestos!$B$9)+(Supuestos!$B$13/Supuestos!$B$23*Supuestos!$B$22)+($A6*Supuestos!$B$27*(2-Supuestos!$B$28))+(Supuestos!$B$30+$A6*Supuestos!$B$31)+(MAX(0,Supuestos!$B$13-$A6*Supuestos!$B$14)*Supuestos!$B$15)+Supuestos!$B$29</f>
        <v>32384000.0</v>
      </c>
      <c r="G6" s="8">
        <f>E6/Supuestos!$B$5</f>
        <v>2186.6</v>
      </c>
      <c r="H6" s="8">
        <f>F6/Supuestos!$B$5</f>
        <v>2158.9333333333334</v>
      </c>
      <c r="I6" s="8">
        <f>(Supuestos!$B$8*Supuestos!$B$5-E6)*12</f>
        <v>142812000.0</v>
      </c>
      <c r="J6" s="8">
        <f>(Supuestos!$B$8*Supuestos!$B$5-F6)*12</f>
        <v>147792000.0</v>
      </c>
    </row>
    <row r="7">
      <c r="A7" s="11">
        <v>7</v>
      </c>
      <c r="B7" s="10">
        <f>Supuestos!$B$5/(Supuestos!$B$7*Supuestos!$B$6*$A7)</f>
        <v>0.8116883116883117</v>
      </c>
      <c r="C7" s="11">
        <f>Supuestos!$B$13/$A7</f>
        <v>4285.714285714285</v>
      </c>
      <c r="D7" s="8">
        <f>(MAX(0,Supuestos!$B$13-$A7*Supuestos!$B$14)*Supuestos!$B$15)</f>
        <v>1350000</v>
      </c>
      <c r="E7" s="8">
        <f>($A7*Supuestos!$B$18*Supuestos!$B$9)+(Supuestos!$B$13*Supuestos!$B$21*Supuestos!$B$20)+($A7*Supuestos!$B$24)+($A7*Supuestos!$B$27*(2-Supuestos!$B$28))+(Supuestos!$B$30+$A7*Supuestos!$B$31)+(MAX(0,Supuestos!$B$13-$A7*Supuestos!$B$14)*Supuestos!$B$15)+Supuestos!$B$29</f>
        <v>29811000.0</v>
      </c>
      <c r="F7" s="8">
        <f>($A7*Supuestos!$B$19*Supuestos!$B$9)+(Supuestos!$B$13/Supuestos!$B$23*Supuestos!$B$22)+($A7*Supuestos!$B$27*(2-Supuestos!$B$28))+(Supuestos!$B$30+$A7*Supuestos!$B$31)+(MAX(0,Supuestos!$B$13-$A7*Supuestos!$B$14)*Supuestos!$B$15)+Supuestos!$B$29</f>
        <v>29701000.0</v>
      </c>
      <c r="G7" s="8">
        <f>E7/Supuestos!$B$5</f>
        <v>1987.4</v>
      </c>
      <c r="H7" s="8">
        <f>F7/Supuestos!$B$5</f>
        <v>1980.0666666666666</v>
      </c>
      <c r="I7" s="8">
        <f>(Supuestos!$B$8*Supuestos!$B$5-E7)*12</f>
        <v>178668000.0</v>
      </c>
      <c r="J7" s="8">
        <f>(Supuestos!$B$8*Supuestos!$B$5-F7)*12</f>
        <v>179988000.0</v>
      </c>
    </row>
    <row r="8">
      <c r="A8" s="11">
        <v>6</v>
      </c>
      <c r="B8" s="10">
        <f>Supuestos!$B$5/(Supuestos!$B$7*Supuestos!$B$6*$A8)</f>
        <v>0.946969696969697</v>
      </c>
      <c r="C8" s="11">
        <f>Supuestos!$B$13/$A8</f>
        <v>5000.0</v>
      </c>
      <c r="D8" s="8">
        <f>(MAX(0,Supuestos!$B$13-$A8*Supuestos!$B$14)*Supuestos!$B$15)</f>
        <v>1800000</v>
      </c>
      <c r="E8" s="8">
        <f>($A8*Supuestos!$B$18*Supuestos!$B$9)+(Supuestos!$B$13*Supuestos!$B$21*Supuestos!$B$20)+($A8*Supuestos!$B$24)+($A8*Supuestos!$B$27*(2-Supuestos!$B$28))+(Supuestos!$B$30+$A8*Supuestos!$B$31)+(MAX(0,Supuestos!$B$13-$A8*Supuestos!$B$14)*Supuestos!$B$15)+Supuestos!$B$29</f>
        <v>26823000.0</v>
      </c>
      <c r="F8" s="8">
        <f>($A8*Supuestos!$B$19*Supuestos!$B$9)+(Supuestos!$B$13/Supuestos!$B$23*Supuestos!$B$22)+($A8*Supuestos!$B$27*(2-Supuestos!$B$28))+(Supuestos!$B$30+$A8*Supuestos!$B$31)+(MAX(0,Supuestos!$B$13-$A8*Supuestos!$B$14)*Supuestos!$B$15)+Supuestos!$B$29</f>
        <v>27018000.0</v>
      </c>
      <c r="G8" s="8">
        <f>E8/Supuestos!$B$5</f>
        <v>1788.2</v>
      </c>
      <c r="H8" s="8">
        <f>F8/Supuestos!$B$5</f>
        <v>1801.2</v>
      </c>
      <c r="I8" s="8">
        <f>(Supuestos!$B$8*Supuestos!$B$5-E8)*12</f>
        <v>214524000.0</v>
      </c>
      <c r="J8" s="8">
        <f>(Supuestos!$B$8*Supuestos!$B$5-F8)*12</f>
        <v>212184000.0</v>
      </c>
    </row>
    <row r="10">
      <c r="A10" s="12" t="inlineStr">
        <is>
          <t xml:space="preserve">Courier actual (referencia):</t>
        </is>
      </c>
      <c r="E10" s="9">
        <f>Supuestos!$B$8*Supuestos!$B$5</f>
        <v>44700000</v>
      </c>
      <c r="G10" s="8">
        <f>Supuestos!$B$8</f>
        <v>2980</v>
      </c>
    </row>
  </sheetData>
</worksheet>
</file>

<file path=xl/worksheets/sheet3.xml><?xml version="1.0" encoding="utf-8"?>
<worksheet xmlns="http://schemas.openxmlformats.org/spreadsheetml/2006/main">
  <cols>
    <col min="1" max="1" width="34" customWidth="1"/>
    <col min="2" max="2" width="16" customWidth="1"/>
    <col min="3" max="3" width="16" customWidth="1"/>
    <col min="4" max="4" width="16" customWidth="1"/>
  </cols>
  <sheetData>
    <row r="1">
      <c r="A1" s="1" t="inlineStr">
        <is>
          <t xml:space="preserve">EVALUACION: FLOTA ELECTRICA vs COURIER</t>
        </is>
      </c>
    </row>
    <row r="2">
      <c r="A2" s="12" t="inlineStr">
        <is>
          <t xml:space="preserve">Moviles del escenario base (editar en Supuestos!B10):</t>
        </is>
      </c>
      <c r="B2" s="11">
        <f>Supuestos!$B$10</f>
        <v>7</v>
      </c>
    </row>
    <row r="4">
      <c r="A4" s="7" t="inlineStr">
        <is>
          <t xml:space="preserve">Concepto</t>
        </is>
      </c>
      <c r="B4" s="7" t="inlineStr">
        <is>
          <t xml:space="preserve">Courier</t>
        </is>
      </c>
      <c r="C4" s="7" t="inlineStr">
        <is>
          <t xml:space="preserve">Flota Electrica</t>
        </is>
      </c>
      <c r="D4" s="7" t="inlineStr">
        <is>
          <t xml:space="preserve">Diferencia</t>
        </is>
      </c>
    </row>
    <row r="5">
      <c r="A5" s="13" t="inlineStr">
        <is>
          <t xml:space="preserve">Costo total / mes</t>
        </is>
      </c>
      <c r="B5" s="8">
        <f>Supuestos!$B$8*Supuestos!$B$5</f>
        <v>44700000</v>
      </c>
      <c r="C5" s="8">
        <f>(Supuestos!$B$10*Supuestos!$B$18*Supuestos!$B$9)+(Supuestos!$B$13*Supuestos!$B$21*Supuestos!$B$20)+(Supuestos!$B$10*Supuestos!$B$24)+(Supuestos!$B$10*Supuestos!$B$27*(2-Supuestos!$B$28))+(Supuestos!$B$30+Supuestos!$B$10*Supuestos!$B$31)+(MAX(0,Supuestos!$B$13-Supuestos!$B$10*Supuestos!$B$14)*Supuestos!$B$15)+Supuestos!$B$29</f>
        <v>29811000.0</v>
      </c>
      <c r="D5" s="9">
        <f>C5-B5</f>
        <v>-14889000.0</v>
      </c>
    </row>
    <row r="6">
      <c r="A6" s="13" t="inlineStr">
        <is>
          <t xml:space="preserve">Costo por envio</t>
        </is>
      </c>
      <c r="B6" s="8">
        <f>Supuestos!$B$8</f>
        <v>2980</v>
      </c>
      <c r="C6" s="8">
        <f>C5/Supuestos!$B$5</f>
        <v>1987.4</v>
      </c>
      <c r="D6" s="9">
        <f>C6-B6</f>
        <v>-992.5999999999999</v>
      </c>
    </row>
    <row r="7">
      <c r="A7" s="13" t="inlineStr">
        <is>
          <t xml:space="preserve">Costo total / ano</t>
        </is>
      </c>
      <c r="B7" s="8">
        <f>B5*12</f>
        <v>536400000</v>
      </c>
      <c r="C7" s="8">
        <f>C5*12</f>
        <v>357732000.0</v>
      </c>
      <c r="D7" s="9">
        <f>C7-B7</f>
        <v>-178668000.0</v>
      </c>
    </row>
    <row r="8">
      <c r="A8" s="13" t="inlineStr">
        <is>
          <t xml:space="preserve">Reduccion de costo</t>
        </is>
      </c>
      <c r="D8" s="10">
        <f>(B5-C5)/B5</f>
        <v>0.33308724832214764</v>
      </c>
    </row>
    <row r="10">
      <c r="A10" s="2" t="inlineStr">
        <is>
          <t xml:space="preserve">DESGLOSE FLOTA ELECTRICA (CLP/mes)</t>
        </is>
      </c>
    </row>
    <row r="11">
      <c r="A11" s="13" t="inlineStr">
        <is>
          <t xml:space="preserve">Leasing electrico</t>
        </is>
      </c>
      <c r="B11" s="8">
        <f>(Supuestos!$B$10*Supuestos!$B$18*Supuestos!$B$9)</f>
        <v>9520000</v>
      </c>
    </row>
    <row r="12">
      <c r="A12" s="13" t="inlineStr">
        <is>
          <t xml:space="preserve">Energia electrica</t>
        </is>
      </c>
      <c r="B12" s="8">
        <f>(Supuestos!$B$13*Supuestos!$B$21*Supuestos!$B$20)</f>
        <v>1125000.0</v>
      </c>
    </row>
    <row r="13">
      <c r="A13" s="13" t="inlineStr">
        <is>
          <t xml:space="preserve">Infraestructura de carga</t>
        </is>
      </c>
      <c r="B13" s="8">
        <f>(Supuestos!$B$10*Supuestos!$B$24)</f>
        <v>175000</v>
      </c>
    </row>
    <row r="14">
      <c r="A14" s="13" t="inlineStr">
        <is>
          <t xml:space="preserve">Conductores + peonetas</t>
        </is>
      </c>
      <c r="B14" s="8">
        <f>(Supuestos!$B$10*Supuestos!$B$27*(2-Supuestos!$B$28))</f>
        <v>14280000.0</v>
      </c>
    </row>
    <row r="15">
      <c r="A15" s="13" t="inlineStr">
        <is>
          <t xml:space="preserve">Sobrekilometraje</t>
        </is>
      </c>
      <c r="B15" s="8">
        <f>(MAX(0,Supuestos!$B$13-Supuestos!$B$10*Supuestos!$B$14)*Supuestos!$B$15)</f>
        <v>1350000</v>
      </c>
    </row>
    <row r="16">
      <c r="A16" s="13" t="inlineStr">
        <is>
          <t xml:space="preserve">Multas / deducibles</t>
        </is>
      </c>
      <c r="B16" s="8">
        <f>Supuestos!$B$29</f>
        <v>500000</v>
      </c>
    </row>
    <row r="17">
      <c r="A17" s="13" t="inlineStr">
        <is>
          <t xml:space="preserve">Overhead de flota</t>
        </is>
      </c>
      <c r="B17" s="8">
        <f>(Supuestos!$B$30+Supuestos!$B$10*Supuestos!$B$31)</f>
        <v>2861000</v>
      </c>
    </row>
    <row r="18">
      <c r="A18" s="12" t="inlineStr">
        <is>
          <t xml:space="preserve">TOTAL</t>
        </is>
      </c>
      <c r="B18" s="9">
        <f>SUM(B11:B17)</f>
        <v>29811000.0</v>
      </c>
    </row>
    <row r="20">
      <c r="A20" s="2" t="inlineStr">
        <is>
          <t xml:space="preserve">METRICAS DE DECISION</t>
        </is>
      </c>
    </row>
    <row r="21">
      <c r="A21" s="13" t="inlineStr">
        <is>
          <t xml:space="preserve">Ahorro / mes</t>
        </is>
      </c>
      <c r="B21" s="8">
        <f>B5-C5</f>
        <v>14889000.0</v>
      </c>
    </row>
    <row r="22">
      <c r="A22" s="13" t="inlineStr">
        <is>
          <t xml:space="preserve">Ahorro / ano</t>
        </is>
      </c>
      <c r="B22" s="8">
        <f>(B5-C5)*12</f>
        <v>178668000.0</v>
      </c>
    </row>
    <row r="23">
      <c r="A23" s="13" t="inlineStr">
        <is>
          <t xml:space="preserve">Ahorro 3 anos (nominal)</t>
        </is>
      </c>
      <c r="B23" s="8">
        <f>(B5-C5)*36</f>
        <v>536004000.0</v>
      </c>
    </row>
    <row r="24">
      <c r="A24" s="13" t="inlineStr">
        <is>
          <t xml:space="preserve">Punto de equilibrio (envios/mes)</t>
        </is>
      </c>
      <c r="B24" s="11">
        <f>C5/Supuestos!$B$8</f>
        <v>10003.691275167785</v>
      </c>
    </row>
    <row r="25">
      <c r="A25" s="13" t="inlineStr">
        <is>
          <t xml:space="preserve">Capacidad de la flota (envios/mes)</t>
        </is>
      </c>
      <c r="B25" s="11">
        <f>Supuestos!$B$7*Supuestos!$B$6*Supuestos!$B$10</f>
        <v>18480</v>
      </c>
    </row>
    <row r="26">
      <c r="A26" s="13" t="inlineStr">
        <is>
          <t xml:space="preserve">Utilizacion actual</t>
        </is>
      </c>
      <c r="B26" s="10">
        <f>Supuestos!$B$5/(Supuestos!$B$7*Supuestos!$B$6*Supuestos!$B$10)</f>
        <v>0.8116883116883117</v>
      </c>
    </row>
    <row r="27">
      <c r="A27" s="13" t="inlineStr">
        <is>
          <t xml:space="preserve">Holgura para crecer (envios/mes)</t>
        </is>
      </c>
      <c r="B27" s="11">
        <f>Supuestos!$B$7*Supuestos!$B$6*Supuestos!$B$10-Supuestos!$B$5</f>
        <v>3480</v>
      </c>
    </row>
  </sheetData>
</worksheet>
</file>

<file path=xl/worksheets/sheet4.xml><?xml version="1.0" encoding="utf-8"?>
<worksheet xmlns="http://schemas.openxmlformats.org/spreadsheetml/2006/main">
  <cols>
    <col min="1" max="1" width="36" customWidth="1"/>
    <col min="2" max="2" width="16" customWidth="1"/>
    <col min="3" max="3" width="16" customWidth="1"/>
    <col min="4" max="4" width="16" customWidth="1"/>
    <col min="5" max="5" width="16" customWidth="1"/>
  </cols>
  <sheetData>
    <row r="1">
      <c r="A1" s="1" t="inlineStr">
        <is>
          <t xml:space="preserve">PROYECCION A 3 ANOS  -  CLP / ano</t>
        </is>
      </c>
    </row>
    <row r="2">
      <c r="A2" s="12" t="inlineStr">
        <is>
          <t xml:space="preserve">Flota base (Supuestos!B10). El diesel sube mas rapido, por eso el electrico amplia su ventaja.</t>
        </is>
      </c>
    </row>
    <row r="4">
      <c r="A4" s="7" t="inlineStr">
        <is>
          <t xml:space="preserve">CLP / ano</t>
        </is>
      </c>
      <c r="B4" s="7" t="inlineStr">
        <is>
          <t xml:space="preserve">Ano 1</t>
        </is>
      </c>
      <c r="C4" s="7" t="inlineStr">
        <is>
          <t xml:space="preserve">Ano 2</t>
        </is>
      </c>
      <c r="D4" s="7" t="inlineStr">
        <is>
          <t xml:space="preserve">Ano 3</t>
        </is>
      </c>
      <c r="E4" s="7" t="inlineStr">
        <is>
          <t xml:space="preserve">Acumulado 3 anos</t>
        </is>
      </c>
    </row>
    <row r="5">
      <c r="A5" s="13" t="inlineStr">
        <is>
          <t xml:space="preserve">Courier</t>
        </is>
      </c>
      <c r="B5" s="8">
        <f>Supuestos!$B$8*Supuestos!$B$5*12*(1+Supuestos!$B$36)^0</f>
        <v>536400000</v>
      </c>
      <c r="C5" s="8">
        <f>Supuestos!$B$8*Supuestos!$B$5*12*(1+Supuestos!$B$36)^1</f>
        <v>563220000</v>
      </c>
      <c r="D5" s="8">
        <f>Supuestos!$B$8*Supuestos!$B$5*12*(1+Supuestos!$B$36)^2</f>
        <v>591381000</v>
      </c>
      <c r="E5" s="9">
        <f>SUM(B5:D5)</f>
        <v>1691001000</v>
      </c>
    </row>
    <row r="6">
      <c r="A6" s="13" t="inlineStr">
        <is>
          <t xml:space="preserve">Flota Electrica</t>
        </is>
      </c>
      <c r="B6" s="8">
        <f>12*((Supuestos!$B$10*Supuestos!$B$18*Supuestos!$B$9)*(1+Supuestos!$B$37)^0+(MAX(0,Supuestos!$B$13-Supuestos!$B$10*Supuestos!$B$14)*Supuestos!$B$15)*(1+Supuestos!$B$37)^0+(Supuestos!$B$13*Supuestos!$B$21*Supuestos!$B$20)*(1+Supuestos!$B$35)^0+((Supuestos!$B$10*Supuestos!$B$27*(2-Supuestos!$B$28))+(Supuestos!$B$30+Supuestos!$B$10*Supuestos!$B$31)+(Supuestos!$B$10*Supuestos!$B$24)+Supuestos!$B$29)*(1+Supuestos!$B$38)^0)</f>
        <v>357732000</v>
      </c>
      <c r="C6" s="8">
        <f>12*((Supuestos!$B$10*Supuestos!$B$18*Supuestos!$B$9)*(1+Supuestos!$B$37)^1+(MAX(0,Supuestos!$B$13-Supuestos!$B$10*Supuestos!$B$14)*Supuestos!$B$15)*(1+Supuestos!$B$37)^1+(Supuestos!$B$13*Supuestos!$B$21*Supuestos!$B$20)*(1+Supuestos!$B$35)^1+((Supuestos!$B$10*Supuestos!$B$27*(2-Supuestos!$B$28))+(Supuestos!$B$30+Supuestos!$B$10*Supuestos!$B$31)+(Supuestos!$B$10*Supuestos!$B$24)+Supuestos!$B$29)*(1+Supuestos!$B$38)^1)</f>
        <v>371254080</v>
      </c>
      <c r="D6" s="8">
        <f>12*((Supuestos!$B$10*Supuestos!$B$18*Supuestos!$B$9)*(1+Supuestos!$B$37)^2+(MAX(0,Supuestos!$B$13-Supuestos!$B$10*Supuestos!$B$14)*Supuestos!$B$15)*(1+Supuestos!$B$37)^2+(Supuestos!$B$13*Supuestos!$B$21*Supuestos!$B$20)*(1+Supuestos!$B$35)^2+((Supuestos!$B$10*Supuestos!$B$27*(2-Supuestos!$B$28))+(Supuestos!$B$30+Supuestos!$B$10*Supuestos!$B$31)+(Supuestos!$B$10*Supuestos!$B$24)+Supuestos!$B$29)*(1+Supuestos!$B$38)^2)</f>
        <v>385290166</v>
      </c>
      <c r="E6" s="9">
        <f>SUM(B6:D6)</f>
        <v>1114276246</v>
      </c>
    </row>
    <row r="7">
      <c r="A7" s="13" t="inlineStr">
        <is>
          <t xml:space="preserve">Flota Petrolera</t>
        </is>
      </c>
      <c r="B7" s="8">
        <f>12*((Supuestos!$B$10*Supuestos!$B$19*Supuestos!$B$9)*(1+Supuestos!$B$37)^0+(MAX(0,Supuestos!$B$13-Supuestos!$B$10*Supuestos!$B$14)*Supuestos!$B$15)*(1+Supuestos!$B$37)^0+(Supuestos!$B$13/Supuestos!$B$23*Supuestos!$B$22)*(1+Supuestos!$B$34)^0+((Supuestos!$B$10*Supuestos!$B$27*(2-Supuestos!$B$28))+(Supuestos!$B$30+Supuestos!$B$10*Supuestos!$B$31)+Supuestos!$B$29)*(1+Supuestos!$B$38)^0)</f>
        <v>356412000</v>
      </c>
      <c r="C7" s="8">
        <f>12*((Supuestos!$B$10*Supuestos!$B$19*Supuestos!$B$9)*(1+Supuestos!$B$37)^1+(MAX(0,Supuestos!$B$13-Supuestos!$B$10*Supuestos!$B$14)*Supuestos!$B$15)*(1+Supuestos!$B$37)^1+(Supuestos!$B$13/Supuestos!$B$23*Supuestos!$B$22)*(1+Supuestos!$B$34)^1+((Supuestos!$B$10*Supuestos!$B$27*(2-Supuestos!$B$28))+(Supuestos!$B$30+Supuestos!$B$10*Supuestos!$B$31)+Supuestos!$B$29)*(1+Supuestos!$B$38)^1)</f>
        <v>371645880</v>
      </c>
      <c r="D7" s="8">
        <f>12*((Supuestos!$B$10*Supuestos!$B$19*Supuestos!$B$9)*(1+Supuestos!$B$37)^2+(MAX(0,Supuestos!$B$13-Supuestos!$B$10*Supuestos!$B$14)*Supuestos!$B$15)*(1+Supuestos!$B$37)^2+(Supuestos!$B$13/Supuestos!$B$23*Supuestos!$B$22)*(1+Supuestos!$B$34)^2+((Supuestos!$B$10*Supuestos!$B$27*(2-Supuestos!$B$28))+(Supuestos!$B$30+Supuestos!$B$10*Supuestos!$B$31)+Supuestos!$B$29)*(1+Supuestos!$B$38)^2)</f>
        <v>387591364</v>
      </c>
      <c r="E7" s="9">
        <f>SUM(B7:D7)</f>
        <v>1115649244</v>
      </c>
    </row>
    <row r="8">
      <c r="A8" s="12" t="inlineStr">
        <is>
          <t xml:space="preserve">Ahorro Electrica vs Courier</t>
        </is>
      </c>
      <c r="B8" s="9">
        <f>B5-B6</f>
        <v>0</v>
      </c>
      <c r="C8" s="9">
        <f>C5-C6</f>
        <v>0</v>
      </c>
      <c r="D8" s="9">
        <f>D5-D6</f>
        <v>0</v>
      </c>
      <c r="E8" s="9">
        <f>E5-E6</f>
        <v>0</v>
      </c>
    </row>
    <row r="9">
      <c r="A9" s="12" t="inlineStr">
        <is>
          <t xml:space="preserve">Ahorro Petrolera vs Courier</t>
        </is>
      </c>
      <c r="B9" s="9">
        <f>B5-B7</f>
        <v>0</v>
      </c>
      <c r="C9" s="9">
        <f>C5-C7</f>
        <v>0</v>
      </c>
      <c r="D9" s="9">
        <f>D5-D7</f>
        <v>0</v>
      </c>
      <c r="E9" s="9">
        <f>E5-E7</f>
        <v>0</v>
      </c>
    </row>
    <row r="10">
      <c r="A10" s="12" t="inlineStr">
        <is>
          <t xml:space="preserve">Ventaja Electrica vs Petrolera</t>
        </is>
      </c>
      <c r="B10" s="9">
        <f>B7-B6</f>
        <v>0</v>
      </c>
      <c r="C10" s="9">
        <f>C7-C6</f>
        <v>0</v>
      </c>
      <c r="D10" s="9">
        <f>D7-D6</f>
        <v>0</v>
      </c>
      <c r="E10" s="9">
        <f>E7-E6</f>
        <v>0</v>
      </c>
    </row>
    <row r="12">
      <c r="A12" s="12" t="inlineStr">
        <is>
          <t xml:space="preserve">Nota: valor positivo = el electrico es mas barato que el petrolero ese ano.</t>
        </is>
      </c>
    </row>
  </sheetData>
</worksheet>
</file>